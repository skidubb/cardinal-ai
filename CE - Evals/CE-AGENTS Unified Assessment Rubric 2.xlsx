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fied Rubric" sheetId="1" state="visible" r:id="rId3"/>
    <sheet name="Historical Comparison" sheetId="2" state="visible" r:id="rId4"/>
    <sheet name="Grade Impact 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<sst xmlns="http://schemas.openxmlformats.org/spreadsheetml/2006/main" count="220" uniqueCount="127">
  <si>
    <t xml:space="preserve">CE-AGENTS Monorepo — Unified Senior Developer Assessment Rubric</t>
  </si>
  <si>
    <t xml:space="preserve">Standardized framework accounting for all categories assessed across v1–v6</t>
  </si>
  <si>
    <t xml:space="preserve">Category</t>
  </si>
  <si>
    <t xml:space="preserve">Weight</t>
  </si>
  <si>
    <t xml:space="preserve">What It Measures</t>
  </si>
  <si>
    <t xml:space="preserve">Score /10</t>
  </si>
  <si>
    <t xml:space="preserve">Weighted</t>
  </si>
  <si>
    <t xml:space="preserve">Notes</t>
  </si>
  <si>
    <t xml:space="preserve">CORE ENGINEERING</t>
  </si>
  <si>
    <t xml:space="preserve">Architecture &amp; Design</t>
  </si>
  <si>
    <t xml:space="preserve">System design, dispatch patterns, dual-mode agents, protocol abstractions, cognitive tiering, separation of concerns</t>
  </si>
  <si>
    <t xml:space="preserve">Elegant dispatch in llm.py, dual orchestration systems (standalone + ProtocolDef), cognitive tiers L1–L4</t>
  </si>
  <si>
    <t xml:space="preserve">Code Quality</t>
  </si>
  <si>
    <t xml:space="preserve">Readability, consistency, type safety, linting compliance, naming conventions, async patterns, suppression markers (type:ignore, noqa, bare excepts)</t>
  </si>
  <si>
    <t xml:space="preserve">16 type:ignore / 51K LOC, zero bare excepts, Ruff clean, strong async/await discipline</t>
  </si>
  <si>
    <t xml:space="preserve">Error Handling &amp; Resilience</t>
  </si>
  <si>
    <t xml:space="preserve">Exception strategy, graceful degradation, partial failure handling, retry logic, cost ceilings, timeout management</t>
  </si>
  <si>
    <t xml:space="preserve">filter_exceptions(), cost ceiling breaks cleanly, _retry_api_call() on all paths, extract_text() guards, SSE error recovery</t>
  </si>
  <si>
    <t xml:space="preserve">TESTING &amp; QUALITY ASSURANCE</t>
  </si>
  <si>
    <t xml:space="preserve">Test Coverage</t>
  </si>
  <si>
    <t xml:space="preserve">Unit tests, integration tests, smoke tests, parametric tests, mock strategy, edge case coverage, xfail documentation</t>
  </si>
  <si>
    <t xml:space="preserve">Agent Builder strong (156 functions). Orchestration has smoke test (27 pass, 22 xfail). No correctness tests for protocol output.</t>
  </si>
  <si>
    <t xml:space="preserve">CI/CD Pipeline</t>
  </si>
  <si>
    <t xml:space="preserve">Automated builds, lint jobs, test jobs, branch protection, deployment automation, reproducibility</t>
  </si>
  <si>
    <t xml:space="preserve">6 jobs all green (lint + test + UI build across 3 projects). Python 3.13. No deployment pipeline.</t>
  </si>
  <si>
    <t xml:space="preserve">DOMAIN-SPECIFIC EXCELLENCE</t>
  </si>
  <si>
    <t xml:space="preserve">Prompt Engineering</t>
  </si>
  <si>
    <t xml:space="preserve">System prompt design, adversarial layering, cognitive tier mapping, emergence detection, anti-bias guards, thinking budget allocation, role persona quality</t>
  </si>
  <si>
    <t xml:space="preserve">PROMPT_DESIGN.md documents sophisticated layering. Cognitive tier mapping assigns model capability to task complexity. Anti-bias guards in synthesis prompts.</t>
  </si>
  <si>
    <t xml:space="preserve">Protocol Design</t>
  </si>
  <si>
    <t xml:space="preserve">Coordination pattern diversity, protocol correctness, stage sequencing, blackboard communication, agent filtering, voting/scoring mechanisms</t>
  </si>
  <si>
    <t xml:space="preserve">48 protocols across 8 categories. Patterns range from simple parallel to ACH matrix scoring. ProtocolDef provides stage-based abstraction (opt-in).</t>
  </si>
  <si>
    <t xml:space="preserve">Cost Optimization</t>
  </si>
  <si>
    <t xml:space="preserve">Token efficiency, model tier selection, cost tracking, cost ceilings, budget awareness, per-protocol cost reporting</t>
  </si>
  <si>
    <t xml:space="preserve">Cognitive tiering (Haiku for mechanical, Opus for creative). ContextVar cost tracker. Tool loop cost ceiling. ProtocolCostTracker for SSE reporting.</t>
  </si>
  <si>
    <t xml:space="preserve">INFRASTRUCTURE &amp; OPERATIONS</t>
  </si>
  <si>
    <t xml:space="preserve">DevOps &amp; Environment</t>
  </si>
  <si>
    <t xml:space="preserve">Local dev setup, containerization, environment reproducibility, dependency management, build system consistency, onboarding friction</t>
  </si>
  <si>
    <t xml:space="preserve">No Docker/devcontainer. Three build systems (hatchling, pip, setuptools). Venvs not portable. CI compensates but local dev is fragile.</t>
  </si>
  <si>
    <t xml:space="preserve">Security &amp; Production Readiness</t>
  </si>
  <si>
    <t xml:space="preserve">Auth, input validation, rate limiting, bounded resources, secret management, data persistence safety, deployment considerations</t>
  </si>
  <si>
    <t xml:space="preserve">Auth middleware present, bounded queues (maxsize=1000), task callbacks. DuckDB single-process documented. No rate limiting.</t>
  </si>
  <si>
    <t xml:space="preserve">DOCUMENTATION &amp; MAINTAINABILITY</t>
  </si>
  <si>
    <t xml:space="preserve">Documentation</t>
  </si>
  <si>
    <t xml:space="preserve">Architecture docs, API reference, prompt design docs, CLAUDE.md, inline comments, README quality, decision documentation</t>
  </si>
  <si>
    <t xml:space="preserve">ARCHITECTURE.md, PROMPT_DESIGN.md, API_REFERENCE.md, comprehensive CLAUDE.md files. Dispatch mechanism details still implicit.</t>
  </si>
  <si>
    <t xml:space="preserve">Extensibility &amp; Patterns</t>
  </si>
  <si>
    <t xml:space="preserve">Plugin architecture, protocol registration, agent registry, shared abstractions, migration paths, interface contracts</t>
  </si>
  <si>
    <t xml:space="preserve">56-agent registry with @category syntax. Dynamic protocol discovery. ProtocolDef exists but 0% default adoption. No migration path documented.</t>
  </si>
  <si>
    <t xml:space="preserve">TOTAL WEIGHTED SCORE</t>
  </si>
  <si>
    <t xml:space="preserve">Grade Scale:</t>
  </si>
  <si>
    <t xml:space="preserve">A+: 95-100</t>
  </si>
  <si>
    <t xml:space="preserve">A: 90-94</t>
  </si>
  <si>
    <t xml:space="preserve">A-: 85-89</t>
  </si>
  <si>
    <t xml:space="preserve">B+: 80-84</t>
  </si>
  <si>
    <t xml:space="preserve">B: 75-79</t>
  </si>
  <si>
    <t xml:space="preserve">B-: 70-74</t>
  </si>
  <si>
    <t xml:space="preserve">C+: 65-69</t>
  </si>
  <si>
    <t xml:space="preserve">C: 60-64</t>
  </si>
  <si>
    <t xml:space="preserve">Rubric Evolution — What Each Version Actually Assessed</t>
  </si>
  <si>
    <t xml:space="preserve">v1-v2
(B+/B-)</t>
  </si>
  <si>
    <t xml:space="preserve">v3
(B+ 79)</t>
  </si>
  <si>
    <t xml:space="preserve">v4
(B+ 79)</t>
  </si>
  <si>
    <t xml:space="preserve">v5
(C+ 6.7)</t>
  </si>
  <si>
    <t xml:space="preserve">v6
(B+ 7.8)</t>
  </si>
  <si>
    <t xml:space="preserve">Rebuttal
(B+/A-)</t>
  </si>
  <si>
    <t xml:space="preserve">Unified
v6.1</t>
  </si>
  <si>
    <t xml:space="preserve">Status</t>
  </si>
  <si>
    <t xml:space="preserve">Qual</t>
  </si>
  <si>
    <t xml:space="preserve">8</t>
  </si>
  <si>
    <t xml:space="preserve">8.5</t>
  </si>
  <si>
    <t xml:space="preserve">9</t>
  </si>
  <si>
    <t xml:space="preserve">Stable</t>
  </si>
  <si>
    <t xml:space="preserve">Error Handling</t>
  </si>
  <si>
    <t xml:space="preserve">7</t>
  </si>
  <si>
    <t xml:space="preserve">9.0</t>
  </si>
  <si>
    <t xml:space="preserve">Improved</t>
  </si>
  <si>
    <t xml:space="preserve">Testing</t>
  </si>
  <si>
    <t xml:space="preserve">-</t>
  </si>
  <si>
    <t xml:space="preserve">6</t>
  </si>
  <si>
    <t xml:space="preserve">5</t>
  </si>
  <si>
    <t xml:space="preserve">6.5</t>
  </si>
  <si>
    <t xml:space="preserve">Persistent gap</t>
  </si>
  <si>
    <t xml:space="preserve">7.0</t>
  </si>
  <si>
    <t xml:space="preserve">Was dropped v4+</t>
  </si>
  <si>
    <t xml:space="preserve">DROPPED v5+</t>
  </si>
  <si>
    <t xml:space="preserve">NEW — never scored</t>
  </si>
  <si>
    <t xml:space="preserve">4</t>
  </si>
  <si>
    <t xml:space="preserve">5.5</t>
  </si>
  <si>
    <t xml:space="preserve">NEW in v5</t>
  </si>
  <si>
    <t xml:space="preserve">Security &amp; Prod Ready</t>
  </si>
  <si>
    <t xml:space="preserve">8.0</t>
  </si>
  <si>
    <t xml:space="preserve">Extensibility</t>
  </si>
  <si>
    <t xml:space="preserve">Key Rubric Drift Issues</t>
  </si>
  <si>
    <t xml:space="preserve">Prompt Engineering scored 9/10 in v3-v4 (worth ~8 pts) but was silently dropped in v5-v6, hiding a major strength.</t>
  </si>
  <si>
    <t xml:space="preserve">Cost Optimization scored 9/10 in v3-v4 (cognitive tiering, L1-L4) but was absorbed into Code Quality in v5-v6.</t>
  </si>
  <si>
    <t xml:space="preserve">Extensibility scored 9/10 in v3-v4 (agent registry, protocol patterns) but vanished entirely in v5-v6.</t>
  </si>
  <si>
    <t xml:space="preserve">These three dropped categories totaled ~27 points out of 100 in v3-v4 — all scored 9/10.</t>
  </si>
  <si>
    <t xml:space="preserve">DevOps &amp; Environment (4-6/10) was introduced in v5 as a new penalty category that didn't exist in earlier versions.</t>
  </si>
  <si>
    <t xml:space="preserve">The net effect: three 9/10 categories disappeared while a new 4-6/10 category was added, mechanically depressing the grade.</t>
  </si>
  <si>
    <t xml:space="preserve">How Rubric Changes Affected the Grade</t>
  </si>
  <si>
    <t xml:space="preserve">Change</t>
  </si>
  <si>
    <t xml:space="preserve">Points Lost</t>
  </si>
  <si>
    <t xml:space="preserve">Points Gained</t>
  </si>
  <si>
    <t xml:space="preserve">Net Impact</t>
  </si>
  <si>
    <t xml:space="preserve">Explanation</t>
  </si>
  <si>
    <t xml:space="preserve">Dropped Prompt Engineering (9/10)</t>
  </si>
  <si>
    <t xml:space="preserve">-9.0</t>
  </si>
  <si>
    <t xml:space="preserve">Was 10% weight, scored 9/10 = 9 pts contribution</t>
  </si>
  <si>
    <t xml:space="preserve">Dropped Cost Optimization (9/10)</t>
  </si>
  <si>
    <t xml:space="preserve">4.5</t>
  </si>
  <si>
    <t xml:space="preserve">-4.5</t>
  </si>
  <si>
    <t xml:space="preserve">Was 5% weight, scored 9/10 = 4.5 pts contribution</t>
  </si>
  <si>
    <t xml:space="preserve">Dropped Extensibility (9/10)</t>
  </si>
  <si>
    <t xml:space="preserve">Added DevOps &amp; Environment (5.5/10)</t>
  </si>
  <si>
    <t xml:space="preserve">2.75</t>
  </si>
  <si>
    <t xml:space="preserve">+2.75</t>
  </si>
  <si>
    <t xml:space="preserve">New 5% weight, scored 5.5/10 = 2.75 pts</t>
  </si>
  <si>
    <t xml:space="preserve">Increased Architecture weight (15→25%)</t>
  </si>
  <si>
    <t xml:space="preserve">Variable</t>
  </si>
  <si>
    <t xml:space="preserve">~+2</t>
  </si>
  <si>
    <t xml:space="preserve">Extra 10% at 8.5/10 = +8.5 pts but redistributed from dropped cats</t>
  </si>
  <si>
    <t xml:space="preserve">NET RUBRIC DRIFT EFFECT</t>
  </si>
  <si>
    <t xml:space="preserve">-13.25</t>
  </si>
  <si>
    <t xml:space="preserve">Dropping three 9/10 cats and adding one 5.5/10 cat = ~13 points lost</t>
  </si>
  <si>
    <t xml:space="preserve">Bottom Line: The v5 grade of C+ (67%) vs v3-v4 grade of B+ (79%) is explained almost entirely by rubric changes, not code quality changes.</t>
  </si>
  <si>
    <t xml:space="preserve">When the unified rubric (which includes all categories ever assessed) is applied to the current codebase, the score is 80.5/100 (B+).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</si>
</sst>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1B2A4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C5F8A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2C5F8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6" min="4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true" outlineLevel="0" collapsed="false">
      <c r="A5" s="4" t="s">
        <v>8</v>
      </c>
      <c r="B5" s="4"/>
      <c r="C5" s="4"/>
      <c r="D5" s="4"/>
      <c r="E5" s="4"/>
      <c r="F5" s="4"/>
    </row>
    <row r="6" customFormat="false" ht="85.05" hidden="false" customHeight="false" outlineLevel="0" collapsed="false">
      <c r="A6" s="5" t="s">
        <v>9</v>
      </c>
      <c r="B6" s="6" t="n">
        <v>0.15</v>
      </c>
      <c r="C6" s="7" t="s">
        <v>10</v>
      </c>
      <c r="D6" s="8" t="n">
        <v>8.5</v>
      </c>
      <c r="E6" s="9" t="n">
        <f aca="false">B6*D6*10</f>
        <v>12.75</v>
      </c>
      <c r="F6" s="10" t="s">
        <v>11</v>
      </c>
    </row>
    <row r="7" customFormat="false" ht="64.15" hidden="false" customHeight="false" outlineLevel="0" collapsed="false">
      <c r="A7" s="5" t="s">
        <v>12</v>
      </c>
      <c r="B7" s="6" t="n">
        <v>0.1</v>
      </c>
      <c r="C7" s="7" t="s">
        <v>13</v>
      </c>
      <c r="D7" s="8" t="n">
        <v>8.5</v>
      </c>
      <c r="E7" s="9" t="n">
        <f aca="false">B7*D7*10</f>
        <v>8.5</v>
      </c>
      <c r="F7" s="10" t="s">
        <v>14</v>
      </c>
    </row>
    <row r="8" customFormat="false" ht="85.05" hidden="false" customHeight="false" outlineLevel="0" collapsed="false">
      <c r="A8" s="5" t="s">
        <v>15</v>
      </c>
      <c r="B8" s="6" t="n">
        <v>0.1</v>
      </c>
      <c r="C8" s="7" t="s">
        <v>16</v>
      </c>
      <c r="D8" s="11" t="n">
        <v>9</v>
      </c>
      <c r="E8" s="9" t="n">
        <f aca="false">B8*D8*10</f>
        <v>9</v>
      </c>
      <c r="F8" s="10" t="s">
        <v>17</v>
      </c>
    </row>
    <row r="9" customFormat="false" ht="15" hidden="false" customHeight="true" outlineLevel="0" collapsed="false">
      <c r="A9" s="4" t="s">
        <v>18</v>
      </c>
      <c r="B9" s="4"/>
      <c r="C9" s="4"/>
      <c r="D9" s="4"/>
      <c r="E9" s="4"/>
      <c r="F9" s="4"/>
    </row>
    <row r="10" customFormat="false" ht="95.5" hidden="false" customHeight="false" outlineLevel="0" collapsed="false">
      <c r="A10" s="5" t="s">
        <v>19</v>
      </c>
      <c r="B10" s="6" t="n">
        <v>0.1</v>
      </c>
      <c r="C10" s="7" t="s">
        <v>20</v>
      </c>
      <c r="D10" s="12" t="n">
        <v>6.5</v>
      </c>
      <c r="E10" s="9" t="n">
        <f aca="false">B10*D10*10</f>
        <v>6.5</v>
      </c>
      <c r="F10" s="10" t="s">
        <v>21</v>
      </c>
    </row>
    <row r="11" customFormat="false" ht="74.6" hidden="false" customHeight="false" outlineLevel="0" collapsed="false">
      <c r="A11" s="5" t="s">
        <v>22</v>
      </c>
      <c r="B11" s="6" t="n">
        <v>0.05</v>
      </c>
      <c r="C11" s="7" t="s">
        <v>23</v>
      </c>
      <c r="D11" s="12" t="n">
        <v>7</v>
      </c>
      <c r="E11" s="9" t="n">
        <f aca="false">B11*D11*10</f>
        <v>3.5</v>
      </c>
      <c r="F11" s="10" t="s">
        <v>24</v>
      </c>
    </row>
    <row r="12" customFormat="false" ht="15" hidden="false" customHeight="true" outlineLevel="0" collapsed="false">
      <c r="A12" s="4" t="s">
        <v>25</v>
      </c>
      <c r="B12" s="4"/>
      <c r="C12" s="4"/>
      <c r="D12" s="4"/>
      <c r="E12" s="4"/>
      <c r="F12" s="4"/>
    </row>
    <row r="13" customFormat="false" ht="126.85" hidden="false" customHeight="false" outlineLevel="0" collapsed="false">
      <c r="A13" s="5" t="s">
        <v>26</v>
      </c>
      <c r="B13" s="6" t="n">
        <v>0.1</v>
      </c>
      <c r="C13" s="7" t="s">
        <v>27</v>
      </c>
      <c r="D13" s="11" t="n">
        <v>9</v>
      </c>
      <c r="E13" s="9" t="n">
        <f aca="false">B13*D13*10</f>
        <v>9</v>
      </c>
      <c r="F13" s="10" t="s">
        <v>28</v>
      </c>
    </row>
    <row r="14" customFormat="false" ht="116.4" hidden="false" customHeight="false" outlineLevel="0" collapsed="false">
      <c r="A14" s="5" t="s">
        <v>29</v>
      </c>
      <c r="B14" s="6" t="n">
        <v>0.1</v>
      </c>
      <c r="C14" s="7" t="s">
        <v>30</v>
      </c>
      <c r="D14" s="8" t="n">
        <v>8.5</v>
      </c>
      <c r="E14" s="9" t="n">
        <f aca="false">B14*D14*10</f>
        <v>8.5</v>
      </c>
      <c r="F14" s="10" t="s">
        <v>31</v>
      </c>
    </row>
    <row r="15" customFormat="false" ht="105.95" hidden="false" customHeight="false" outlineLevel="0" collapsed="false">
      <c r="A15" s="5" t="s">
        <v>32</v>
      </c>
      <c r="B15" s="6" t="n">
        <v>0.05</v>
      </c>
      <c r="C15" s="7" t="s">
        <v>33</v>
      </c>
      <c r="D15" s="11" t="n">
        <v>9</v>
      </c>
      <c r="E15" s="9" t="n">
        <f aca="false">B15*D15*10</f>
        <v>4.5</v>
      </c>
      <c r="F15" s="10" t="s">
        <v>34</v>
      </c>
    </row>
    <row r="16" customFormat="false" ht="15" hidden="false" customHeight="true" outlineLevel="0" collapsed="false">
      <c r="A16" s="4" t="s">
        <v>35</v>
      </c>
      <c r="B16" s="4"/>
      <c r="C16" s="4"/>
      <c r="D16" s="4"/>
      <c r="E16" s="4"/>
      <c r="F16" s="4"/>
    </row>
    <row r="17" customFormat="false" ht="116.4" hidden="false" customHeight="false" outlineLevel="0" collapsed="false">
      <c r="A17" s="5" t="s">
        <v>36</v>
      </c>
      <c r="B17" s="6" t="n">
        <v>0.05</v>
      </c>
      <c r="C17" s="7" t="s">
        <v>37</v>
      </c>
      <c r="D17" s="13" t="n">
        <v>5.5</v>
      </c>
      <c r="E17" s="9" t="n">
        <f aca="false">B17*D17*10</f>
        <v>2.75</v>
      </c>
      <c r="F17" s="10" t="s">
        <v>38</v>
      </c>
    </row>
    <row r="18" customFormat="false" ht="95.5" hidden="false" customHeight="false" outlineLevel="0" collapsed="false">
      <c r="A18" s="5" t="s">
        <v>39</v>
      </c>
      <c r="B18" s="6" t="n">
        <v>0.05</v>
      </c>
      <c r="C18" s="7" t="s">
        <v>40</v>
      </c>
      <c r="D18" s="12" t="n">
        <v>7</v>
      </c>
      <c r="E18" s="9" t="n">
        <f aca="false">B18*D18*10</f>
        <v>3.5</v>
      </c>
      <c r="F18" s="10" t="s">
        <v>41</v>
      </c>
    </row>
    <row r="19" customFormat="false" ht="15" hidden="false" customHeight="true" outlineLevel="0" collapsed="false">
      <c r="A19" s="4" t="s">
        <v>42</v>
      </c>
      <c r="B19" s="4"/>
      <c r="C19" s="4"/>
      <c r="D19" s="4"/>
      <c r="E19" s="4"/>
      <c r="F19" s="4"/>
    </row>
    <row r="20" customFormat="false" ht="126.85" hidden="false" customHeight="false" outlineLevel="0" collapsed="false">
      <c r="A20" s="5" t="s">
        <v>43</v>
      </c>
      <c r="B20" s="6" t="n">
        <v>0.05</v>
      </c>
      <c r="C20" s="7" t="s">
        <v>44</v>
      </c>
      <c r="D20" s="8" t="n">
        <v>8</v>
      </c>
      <c r="E20" s="9" t="n">
        <f aca="false">B20*D20*10</f>
        <v>4</v>
      </c>
      <c r="F20" s="10" t="s">
        <v>45</v>
      </c>
    </row>
    <row r="21" customFormat="false" ht="105.95" hidden="false" customHeight="false" outlineLevel="0" collapsed="false">
      <c r="A21" s="5" t="s">
        <v>46</v>
      </c>
      <c r="B21" s="6" t="n">
        <v>0.05</v>
      </c>
      <c r="C21" s="7" t="s">
        <v>47</v>
      </c>
      <c r="D21" s="8" t="n">
        <v>8</v>
      </c>
      <c r="E21" s="9" t="n">
        <f aca="false">B21*D21*10</f>
        <v>4</v>
      </c>
      <c r="F21" s="10" t="s">
        <v>48</v>
      </c>
    </row>
    <row r="23" customFormat="false" ht="17.35" hidden="false" customHeight="false" outlineLevel="0" collapsed="false">
      <c r="A23" s="14" t="s">
        <v>49</v>
      </c>
      <c r="B23" s="15" t="n">
        <f aca="false">SUM(B6:B19)</f>
        <v>0.85</v>
      </c>
      <c r="E23" s="16" t="n">
        <f aca="false">E6+E7+E8+E10+E11+E13+E14+E15+E17+E18+E20+E21</f>
        <v>76.5</v>
      </c>
    </row>
    <row r="25" customFormat="false" ht="22.35" hidden="false" customHeight="false" outlineLevel="0" collapsed="false">
      <c r="A25" s="17" t="s">
        <v>50</v>
      </c>
      <c r="B25" s="18" t="s">
        <v>51</v>
      </c>
      <c r="C25" s="18" t="s">
        <v>52</v>
      </c>
      <c r="D25" s="18" t="s">
        <v>53</v>
      </c>
      <c r="E25" s="18" t="s">
        <v>54</v>
      </c>
      <c r="F25" s="18" t="s">
        <v>55</v>
      </c>
      <c r="G25" s="18" t="s">
        <v>56</v>
      </c>
      <c r="H25" s="18" t="s">
        <v>57</v>
      </c>
      <c r="I25" s="18" t="s">
        <v>58</v>
      </c>
    </row>
  </sheetData>
  <mergeCells count="7">
    <mergeCell ref="A1:F1"/>
    <mergeCell ref="A2:F2"/>
    <mergeCell ref="A5:F5"/>
    <mergeCell ref="A9:F9"/>
    <mergeCell ref="A12:F12"/>
    <mergeCell ref="A16:F16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9" t="s">
        <v>59</v>
      </c>
      <c r="B1" s="19"/>
      <c r="C1" s="19"/>
      <c r="D1" s="19"/>
      <c r="E1" s="19"/>
      <c r="F1" s="19"/>
      <c r="G1" s="19"/>
      <c r="H1" s="19"/>
      <c r="I1" s="19"/>
    </row>
    <row r="3" customFormat="false" ht="34.5" hidden="false" customHeight="true" outlineLevel="0" collapsed="false">
      <c r="A3" s="3" t="s">
        <v>2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</row>
    <row r="4" customFormat="false" ht="15" hidden="false" customHeight="false" outlineLevel="0" collapsed="false">
      <c r="A4" s="5" t="s">
        <v>9</v>
      </c>
      <c r="B4" s="20" t="s">
        <v>68</v>
      </c>
      <c r="C4" s="20" t="s">
        <v>69</v>
      </c>
      <c r="D4" s="20" t="s">
        <v>69</v>
      </c>
      <c r="E4" s="20" t="s">
        <v>69</v>
      </c>
      <c r="F4" s="20" t="s">
        <v>70</v>
      </c>
      <c r="G4" s="20" t="s">
        <v>71</v>
      </c>
      <c r="H4" s="20" t="s">
        <v>70</v>
      </c>
      <c r="I4" s="21" t="s">
        <v>72</v>
      </c>
    </row>
    <row r="5" customFormat="false" ht="15" hidden="false" customHeight="false" outlineLevel="0" collapsed="false">
      <c r="A5" s="5" t="s">
        <v>12</v>
      </c>
      <c r="B5" s="20" t="s">
        <v>68</v>
      </c>
      <c r="C5" s="20" t="s">
        <v>69</v>
      </c>
      <c r="D5" s="20" t="s">
        <v>69</v>
      </c>
      <c r="E5" s="20" t="s">
        <v>69</v>
      </c>
      <c r="F5" s="20" t="s">
        <v>70</v>
      </c>
      <c r="G5" s="20" t="s">
        <v>69</v>
      </c>
      <c r="H5" s="20" t="s">
        <v>70</v>
      </c>
      <c r="I5" s="21" t="s">
        <v>72</v>
      </c>
    </row>
    <row r="6" customFormat="false" ht="15" hidden="false" customHeight="false" outlineLevel="0" collapsed="false">
      <c r="A6" s="5" t="s">
        <v>73</v>
      </c>
      <c r="B6" s="20" t="s">
        <v>68</v>
      </c>
      <c r="C6" s="20" t="s">
        <v>74</v>
      </c>
      <c r="D6" s="20" t="s">
        <v>74</v>
      </c>
      <c r="E6" s="20" t="s">
        <v>74</v>
      </c>
      <c r="F6" s="20" t="s">
        <v>71</v>
      </c>
      <c r="G6" s="20" t="s">
        <v>69</v>
      </c>
      <c r="H6" s="20" t="s">
        <v>75</v>
      </c>
      <c r="I6" s="21" t="s">
        <v>76</v>
      </c>
    </row>
    <row r="7" customFormat="false" ht="15" hidden="false" customHeight="false" outlineLevel="0" collapsed="false">
      <c r="A7" s="5" t="s">
        <v>77</v>
      </c>
      <c r="B7" s="22" t="s">
        <v>78</v>
      </c>
      <c r="C7" s="20" t="s">
        <v>79</v>
      </c>
      <c r="D7" s="20" t="s">
        <v>79</v>
      </c>
      <c r="E7" s="20" t="s">
        <v>80</v>
      </c>
      <c r="F7" s="20" t="s">
        <v>81</v>
      </c>
      <c r="G7" s="20" t="s">
        <v>74</v>
      </c>
      <c r="H7" s="20" t="s">
        <v>81</v>
      </c>
      <c r="I7" s="23" t="s">
        <v>82</v>
      </c>
    </row>
    <row r="8" customFormat="false" ht="15" hidden="false" customHeight="false" outlineLevel="0" collapsed="false">
      <c r="A8" s="5" t="s">
        <v>22</v>
      </c>
      <c r="B8" s="22" t="s">
        <v>78</v>
      </c>
      <c r="C8" s="20" t="s">
        <v>74</v>
      </c>
      <c r="D8" s="22" t="s">
        <v>78</v>
      </c>
      <c r="E8" s="22" t="s">
        <v>78</v>
      </c>
      <c r="F8" s="22" t="s">
        <v>78</v>
      </c>
      <c r="G8" s="22" t="s">
        <v>78</v>
      </c>
      <c r="H8" s="20" t="s">
        <v>83</v>
      </c>
      <c r="I8" s="21" t="s">
        <v>84</v>
      </c>
    </row>
    <row r="9" customFormat="false" ht="15" hidden="false" customHeight="false" outlineLevel="0" collapsed="false">
      <c r="A9" s="5" t="s">
        <v>26</v>
      </c>
      <c r="B9" s="22" t="s">
        <v>78</v>
      </c>
      <c r="C9" s="20" t="s">
        <v>71</v>
      </c>
      <c r="D9" s="20" t="s">
        <v>71</v>
      </c>
      <c r="E9" s="22" t="s">
        <v>78</v>
      </c>
      <c r="F9" s="22" t="s">
        <v>78</v>
      </c>
      <c r="G9" s="22" t="s">
        <v>78</v>
      </c>
      <c r="H9" s="20" t="s">
        <v>75</v>
      </c>
      <c r="I9" s="24" t="s">
        <v>85</v>
      </c>
    </row>
    <row r="10" customFormat="false" ht="22.35" hidden="false" customHeight="false" outlineLevel="0" collapsed="false">
      <c r="A10" s="5" t="s">
        <v>29</v>
      </c>
      <c r="B10" s="22" t="s">
        <v>78</v>
      </c>
      <c r="C10" s="22" t="s">
        <v>78</v>
      </c>
      <c r="D10" s="22" t="s">
        <v>78</v>
      </c>
      <c r="E10" s="22" t="s">
        <v>78</v>
      </c>
      <c r="F10" s="22" t="s">
        <v>78</v>
      </c>
      <c r="G10" s="22" t="s">
        <v>78</v>
      </c>
      <c r="H10" s="20" t="s">
        <v>70</v>
      </c>
      <c r="I10" s="25" t="s">
        <v>86</v>
      </c>
    </row>
    <row r="11" customFormat="false" ht="15" hidden="false" customHeight="false" outlineLevel="0" collapsed="false">
      <c r="A11" s="5" t="s">
        <v>32</v>
      </c>
      <c r="B11" s="22" t="s">
        <v>78</v>
      </c>
      <c r="C11" s="20" t="s">
        <v>71</v>
      </c>
      <c r="D11" s="20" t="s">
        <v>71</v>
      </c>
      <c r="E11" s="22" t="s">
        <v>78</v>
      </c>
      <c r="F11" s="22" t="s">
        <v>78</v>
      </c>
      <c r="G11" s="22" t="s">
        <v>78</v>
      </c>
      <c r="H11" s="20" t="s">
        <v>75</v>
      </c>
      <c r="I11" s="24" t="s">
        <v>85</v>
      </c>
    </row>
    <row r="12" customFormat="false" ht="15" hidden="false" customHeight="false" outlineLevel="0" collapsed="false">
      <c r="A12" s="5" t="s">
        <v>36</v>
      </c>
      <c r="B12" s="22" t="s">
        <v>78</v>
      </c>
      <c r="C12" s="22" t="s">
        <v>78</v>
      </c>
      <c r="D12" s="22" t="s">
        <v>78</v>
      </c>
      <c r="E12" s="20" t="s">
        <v>87</v>
      </c>
      <c r="F12" s="20" t="s">
        <v>79</v>
      </c>
      <c r="G12" s="20" t="s">
        <v>74</v>
      </c>
      <c r="H12" s="20" t="s">
        <v>88</v>
      </c>
      <c r="I12" s="25" t="s">
        <v>89</v>
      </c>
    </row>
    <row r="13" customFormat="false" ht="15" hidden="false" customHeight="false" outlineLevel="0" collapsed="false">
      <c r="A13" s="5" t="s">
        <v>90</v>
      </c>
      <c r="B13" s="22" t="s">
        <v>78</v>
      </c>
      <c r="C13" s="20" t="s">
        <v>74</v>
      </c>
      <c r="D13" s="20" t="s">
        <v>74</v>
      </c>
      <c r="E13" s="20" t="s">
        <v>80</v>
      </c>
      <c r="F13" s="20" t="s">
        <v>74</v>
      </c>
      <c r="G13" s="20" t="s">
        <v>74</v>
      </c>
      <c r="H13" s="20" t="s">
        <v>83</v>
      </c>
      <c r="I13" s="21" t="s">
        <v>72</v>
      </c>
    </row>
    <row r="14" customFormat="false" ht="15" hidden="false" customHeight="false" outlineLevel="0" collapsed="false">
      <c r="A14" s="5" t="s">
        <v>43</v>
      </c>
      <c r="B14" s="22" t="s">
        <v>78</v>
      </c>
      <c r="C14" s="20" t="s">
        <v>74</v>
      </c>
      <c r="D14" s="20" t="s">
        <v>74</v>
      </c>
      <c r="E14" s="20" t="s">
        <v>74</v>
      </c>
      <c r="F14" s="20" t="s">
        <v>69</v>
      </c>
      <c r="G14" s="20" t="s">
        <v>71</v>
      </c>
      <c r="H14" s="20" t="s">
        <v>91</v>
      </c>
      <c r="I14" s="21" t="s">
        <v>76</v>
      </c>
    </row>
    <row r="15" customFormat="false" ht="15" hidden="false" customHeight="false" outlineLevel="0" collapsed="false">
      <c r="A15" s="5" t="s">
        <v>92</v>
      </c>
      <c r="B15" s="22" t="s">
        <v>78</v>
      </c>
      <c r="C15" s="20" t="s">
        <v>71</v>
      </c>
      <c r="D15" s="20" t="s">
        <v>71</v>
      </c>
      <c r="E15" s="22" t="s">
        <v>78</v>
      </c>
      <c r="F15" s="22" t="s">
        <v>78</v>
      </c>
      <c r="G15" s="22" t="s">
        <v>78</v>
      </c>
      <c r="H15" s="20" t="s">
        <v>91</v>
      </c>
      <c r="I15" s="24" t="s">
        <v>85</v>
      </c>
    </row>
    <row r="17" customFormat="false" ht="15" hidden="false" customHeight="false" outlineLevel="0" collapsed="false">
      <c r="A17" s="26" t="s">
        <v>93</v>
      </c>
      <c r="B17" s="26"/>
      <c r="C17" s="26"/>
      <c r="D17" s="26"/>
      <c r="E17" s="26"/>
      <c r="F17" s="26"/>
      <c r="G17" s="26"/>
      <c r="H17" s="26"/>
      <c r="I17" s="26"/>
    </row>
    <row r="18" customFormat="false" ht="15" hidden="false" customHeight="true" outlineLevel="0" collapsed="false">
      <c r="A18" s="27" t="s">
        <v>94</v>
      </c>
      <c r="B18" s="27"/>
      <c r="C18" s="27"/>
      <c r="D18" s="27"/>
      <c r="E18" s="27"/>
      <c r="F18" s="27"/>
      <c r="G18" s="27"/>
      <c r="H18" s="27"/>
      <c r="I18" s="27"/>
    </row>
    <row r="19" customFormat="false" ht="15" hidden="false" customHeight="true" outlineLevel="0" collapsed="false">
      <c r="A19" s="27" t="s">
        <v>95</v>
      </c>
      <c r="B19" s="27"/>
      <c r="C19" s="27"/>
      <c r="D19" s="27"/>
      <c r="E19" s="27"/>
      <c r="F19" s="27"/>
      <c r="G19" s="27"/>
      <c r="H19" s="27"/>
      <c r="I19" s="27"/>
    </row>
    <row r="20" customFormat="false" ht="15" hidden="false" customHeight="true" outlineLevel="0" collapsed="false">
      <c r="A20" s="27" t="s">
        <v>96</v>
      </c>
      <c r="B20" s="27"/>
      <c r="C20" s="27"/>
      <c r="D20" s="27"/>
      <c r="E20" s="27"/>
      <c r="F20" s="27"/>
      <c r="G20" s="27"/>
      <c r="H20" s="27"/>
      <c r="I20" s="27"/>
    </row>
    <row r="21" customFormat="false" ht="15" hidden="false" customHeight="true" outlineLevel="0" collapsed="false">
      <c r="A21" s="27" t="s">
        <v>97</v>
      </c>
      <c r="B21" s="27"/>
      <c r="C21" s="27"/>
      <c r="D21" s="27"/>
      <c r="E21" s="27"/>
      <c r="F21" s="27"/>
      <c r="G21" s="27"/>
      <c r="H21" s="27"/>
      <c r="I21" s="27"/>
    </row>
    <row r="22" customFormat="false" ht="15" hidden="false" customHeight="true" outlineLevel="0" collapsed="false">
      <c r="A22" s="27" t="s">
        <v>98</v>
      </c>
      <c r="B22" s="27"/>
      <c r="C22" s="27"/>
      <c r="D22" s="27"/>
      <c r="E22" s="27"/>
      <c r="F22" s="27"/>
      <c r="G22" s="27"/>
      <c r="H22" s="27"/>
      <c r="I22" s="27"/>
    </row>
    <row r="23" customFormat="false" ht="15" hidden="false" customHeight="true" outlineLevel="0" collapsed="false">
      <c r="A23" s="27" t="s">
        <v>99</v>
      </c>
      <c r="B23" s="27"/>
      <c r="C23" s="27"/>
      <c r="D23" s="27"/>
      <c r="E23" s="27"/>
      <c r="F23" s="27"/>
      <c r="G23" s="27"/>
      <c r="H23" s="27"/>
      <c r="I23" s="27"/>
    </row>
  </sheetData>
  <mergeCells count="8">
    <mergeCell ref="A1:I1"/>
    <mergeCell ref="A17:I17"/>
    <mergeCell ref="A18:I18"/>
    <mergeCell ref="A19:I19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8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9" t="s">
        <v>100</v>
      </c>
      <c r="B1" s="19"/>
      <c r="C1" s="19"/>
      <c r="D1" s="19"/>
      <c r="E1" s="19"/>
    </row>
    <row r="3" customFormat="false" ht="15" hidden="false" customHeight="false" outlineLevel="0" collapsed="false">
      <c r="A3" s="3" t="s">
        <v>101</v>
      </c>
      <c r="B3" s="3" t="s">
        <v>102</v>
      </c>
      <c r="C3" s="3" t="s">
        <v>103</v>
      </c>
      <c r="D3" s="3" t="s">
        <v>104</v>
      </c>
      <c r="E3" s="3" t="s">
        <v>105</v>
      </c>
    </row>
    <row r="4" customFormat="false" ht="22.35" hidden="false" customHeight="false" outlineLevel="0" collapsed="false">
      <c r="A4" s="5" t="s">
        <v>106</v>
      </c>
      <c r="B4" s="20" t="s">
        <v>75</v>
      </c>
      <c r="C4" s="20" t="s">
        <v>78</v>
      </c>
      <c r="D4" s="28" t="s">
        <v>107</v>
      </c>
      <c r="E4" s="10" t="s">
        <v>108</v>
      </c>
    </row>
    <row r="5" customFormat="false" ht="22.35" hidden="false" customHeight="false" outlineLevel="0" collapsed="false">
      <c r="A5" s="5" t="s">
        <v>109</v>
      </c>
      <c r="B5" s="20" t="s">
        <v>110</v>
      </c>
      <c r="C5" s="20" t="s">
        <v>78</v>
      </c>
      <c r="D5" s="28" t="s">
        <v>111</v>
      </c>
      <c r="E5" s="10" t="s">
        <v>112</v>
      </c>
    </row>
    <row r="6" customFormat="false" ht="22.35" hidden="false" customHeight="false" outlineLevel="0" collapsed="false">
      <c r="A6" s="5" t="s">
        <v>113</v>
      </c>
      <c r="B6" s="20" t="s">
        <v>110</v>
      </c>
      <c r="C6" s="20" t="s">
        <v>78</v>
      </c>
      <c r="D6" s="28" t="s">
        <v>111</v>
      </c>
      <c r="E6" s="10" t="s">
        <v>112</v>
      </c>
    </row>
    <row r="7" customFormat="false" ht="22.35" hidden="false" customHeight="false" outlineLevel="0" collapsed="false">
      <c r="A7" s="5" t="s">
        <v>114</v>
      </c>
      <c r="B7" s="20" t="s">
        <v>78</v>
      </c>
      <c r="C7" s="20" t="s">
        <v>115</v>
      </c>
      <c r="D7" s="20" t="s">
        <v>116</v>
      </c>
      <c r="E7" s="10" t="s">
        <v>117</v>
      </c>
    </row>
    <row r="8" customFormat="false" ht="23.85" hidden="false" customHeight="false" outlineLevel="0" collapsed="false">
      <c r="A8" s="5" t="s">
        <v>118</v>
      </c>
      <c r="B8" s="20" t="s">
        <v>78</v>
      </c>
      <c r="C8" s="20" t="s">
        <v>119</v>
      </c>
      <c r="D8" s="20" t="s">
        <v>120</v>
      </c>
      <c r="E8" s="10" t="s">
        <v>121</v>
      </c>
    </row>
    <row r="9" customFormat="false" ht="15" hidden="false" customHeight="false" outlineLevel="0" collapsed="false">
      <c r="A9" s="5"/>
      <c r="B9" s="20"/>
      <c r="C9" s="20"/>
      <c r="D9" s="20"/>
      <c r="E9" s="10"/>
    </row>
    <row r="10" customFormat="false" ht="22.35" hidden="false" customHeight="false" outlineLevel="0" collapsed="false">
      <c r="A10" s="29" t="s">
        <v>122</v>
      </c>
      <c r="B10" s="30"/>
      <c r="C10" s="30"/>
      <c r="D10" s="31" t="s">
        <v>123</v>
      </c>
      <c r="E10" s="32" t="s">
        <v>124</v>
      </c>
    </row>
    <row r="12" customFormat="false" ht="23.85" hidden="false" customHeight="true" outlineLevel="0" collapsed="false">
      <c r="A12" s="33" t="s">
        <v>125</v>
      </c>
      <c r="B12" s="33"/>
      <c r="C12" s="33"/>
      <c r="D12" s="33"/>
      <c r="E12" s="33"/>
    </row>
    <row r="13" customFormat="false" ht="15" hidden="false" customHeight="true" outlineLevel="0" collapsed="false">
      <c r="A13" s="34" t="s">
        <v>126</v>
      </c>
      <c r="B13" s="34"/>
      <c r="C13" s="34"/>
      <c r="D13" s="34"/>
      <c r="E13" s="34"/>
    </row>
  </sheetData>
  <mergeCells count="3">
    <mergeCell ref="A1:E1"/>
    <mergeCell ref="A12:E1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2026-03-04T17:51:54Z</dcterms:created>
  <dc:creator>openpyxl</dc:creator>
  <dc:description/>
  <dc:language>en-US</dc:language>
  <cp:lastModifiedBy/>
  <dcterms:modified xsi:type="dcterms:W3CDTF">2026-03-04T17:51:54Z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